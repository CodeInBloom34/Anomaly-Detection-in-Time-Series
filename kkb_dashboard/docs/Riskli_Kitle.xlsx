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Riskli Kitle" sheetId="2" state="visible" r:id="rId2"/>
    <sheet name="Zaten Gecikmede" sheetId="3" state="visible" r:id="rId3"/>
    <sheet name="Yöntem" sheetId="4" state="visible" r:id="rId4"/>
  </sheets>
  <definedNames>
    <definedName name="_xlnm._FilterDatabase" localSheetId="1" hidden="1">'Riskli Kitle'!$A$1:$P$13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0.0&quot;x&quot;"/>
    <numFmt numFmtId="166" formatCode="0.0%"/>
    <numFmt numFmtId="167" formatCode="dd.mm.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color rgb="0052514E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bottom style="thin">
        <color rgb="00E1E0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5" fillId="0" borderId="0" pivotButton="0" quotePrefix="0" xfId="0"/>
    <xf numFmtId="3" fontId="5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7" fontId="2" fillId="0" borderId="1" applyAlignment="1" pivotButton="0" quotePrefix="0" xfId="0">
      <alignment vertical="top" wrapText="1"/>
    </xf>
    <xf numFmtId="0" fontId="2" fillId="0" borderId="1" pivotButton="0" quotePrefix="0" xfId="0"/>
    <xf numFmtId="3" fontId="2" fillId="0" borderId="1" pivotButton="0" quotePrefix="0" xfId="0"/>
    <xf numFmtId="167" fontId="2" fillId="0" borderId="1" pivotButton="0" quotePrefix="0" xfId="0"/>
    <xf numFmtId="0" fontId="2" fillId="0" borderId="0" pivotButton="0" quotePrefix="0" xfId="0"/>
    <xf numFmtId="1" fontId="2" fillId="0" borderId="0" pivotButton="0" quotePrefix="0" xfId="0"/>
    <xf numFmtId="166" fontId="2" fillId="0" borderId="0" pivotButton="0" quotePrefix="0" xfId="0"/>
    <xf numFmtId="165" fontId="2" fillId="0" borderId="0" pivotButton="0" quotePrefix="0" xfId="0"/>
    <xf numFmtId="9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7D7"/>
        </patternFill>
      </fill>
    </dxf>
    <dxf>
      <fill>
        <patternFill patternType="solid">
          <fgColor rgb="00FDE9CF"/>
        </patternFill>
      </fill>
    </dxf>
    <dxf>
      <fill>
        <patternFill patternType="solid">
          <fgColor rgb="00FFF6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Model</author>
  </authors>
  <commentList>
    <comment ref="C6" authorId="0" shapeId="0">
      <text>
        <t>Model çıktısı (riskli_kitle.py). 'Kaç katı' formülleri bu hücreye bağlıdır.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4" customWidth="1" min="4" max="4"/>
    <col width="70" customWidth="1" min="5" max="5"/>
  </cols>
  <sheetData>
    <row r="1">
      <c r="A1" s="1" t="inlineStr">
        <is>
          <t>KKB trendlerine göre riskli kitle</t>
        </is>
      </c>
    </row>
    <row r="2" ht="30" customHeight="1">
      <c r="A2" s="2" t="inlineStr">
        <is>
          <t>Puanlama tarihi: son KKB sorgusu (25.09.2026). Her müşteri kendi normaline göre değerlendirildi; yalnızca bankacılık açısından olumsuz yöndeki sapmalar sayıldı.</t>
        </is>
      </c>
    </row>
    <row r="4" ht="30" customHeight="1">
      <c r="A4" s="3" t="inlineStr">
        <is>
          <t>Kademe</t>
        </is>
      </c>
      <c r="B4" s="3" t="inlineStr">
        <is>
          <t>Müşteri sayısı</t>
        </is>
      </c>
      <c r="C4" s="3" t="inlineStr">
        <is>
          <t>Bizim risk (TL)</t>
        </is>
      </c>
      <c r="D4" s="3" t="inlineStr">
        <is>
          <t>Olasılıkla ağırlıklı risk (TL)</t>
        </is>
      </c>
      <c r="E4" s="3" t="inlineStr">
        <is>
          <t>Önerilen aksiyon</t>
        </is>
      </c>
    </row>
    <row r="5">
      <c r="A5" s="4" t="inlineStr">
        <is>
          <t>Yüksek</t>
        </is>
      </c>
      <c r="B5" s="5">
        <f>COUNTIF('Riskli Kitle'!$H:$H,A5)</f>
        <v/>
      </c>
      <c r="C5" s="6">
        <f>SUMIF('Riskli Kitle'!$H:$H,A5,'Riskli Kitle'!$K:$K)</f>
        <v/>
      </c>
      <c r="D5" s="6">
        <f>SUMIF('Riskli Kitle'!$H:$H,A5,'Riskli Kitle'!$L:$L)</f>
        <v/>
      </c>
      <c r="E5" s="5" t="inlineStr">
        <is>
          <t>1 hafta içinde ilişki yöneticisi ziyareti; limit artışı dondurulur; teminat gözden geçirilir</t>
        </is>
      </c>
    </row>
    <row r="6">
      <c r="A6" s="4" t="inlineStr">
        <is>
          <t>Orta</t>
        </is>
      </c>
      <c r="B6" s="5">
        <f>COUNTIF('Riskli Kitle'!$H:$H,A6)</f>
        <v/>
      </c>
      <c r="C6" s="6">
        <f>SUMIF('Riskli Kitle'!$H:$H,A6,'Riskli Kitle'!$K:$K)</f>
        <v/>
      </c>
      <c r="D6" s="6">
        <f>SUMIF('Riskli Kitle'!$H:$H,A6,'Riskli Kitle'!$L:$L)</f>
        <v/>
      </c>
      <c r="E6" s="5" t="inlineStr">
        <is>
          <t>2 hafta içinde analist incelemesi; yeni limit kararı kredi komitesine</t>
        </is>
      </c>
    </row>
    <row r="7">
      <c r="A7" s="4" t="inlineStr">
        <is>
          <t>İzleme</t>
        </is>
      </c>
      <c r="B7" s="5">
        <f>COUNTIF('Riskli Kitle'!$H:$H,A7)</f>
        <v/>
      </c>
      <c r="C7" s="6">
        <f>SUMIF('Riskli Kitle'!$H:$H,A7,'Riskli Kitle'!$K:$K)</f>
        <v/>
      </c>
      <c r="D7" s="6">
        <f>SUMIF('Riskli Kitle'!$H:$H,A7,'Riskli Kitle'!$L:$L)</f>
        <v/>
      </c>
      <c r="E7" s="5" t="inlineStr">
        <is>
          <t>Aylık izleme listesine alınır; bir sonraki KKB sorgusu öne çekilir</t>
        </is>
      </c>
    </row>
    <row r="8">
      <c r="A8" s="7" t="inlineStr">
        <is>
          <t>Toplam</t>
        </is>
      </c>
      <c r="B8" s="7">
        <f>SUM(B5:B7)</f>
        <v/>
      </c>
      <c r="C8" s="8">
        <f>SUM(C5:C7)</f>
        <v/>
      </c>
      <c r="D8" s="8">
        <f>SUM(D5:D7)</f>
        <v/>
      </c>
    </row>
    <row r="10">
      <c r="A10" s="7" t="inlineStr">
        <is>
          <t>Zaten gecikmede / takipte</t>
        </is>
      </c>
      <c r="B10">
        <f>COUNTA('Zaten Gecikmede'!B:B)-1</f>
        <v/>
      </c>
      <c r="C10" s="9" t="inlineStr">
        <is>
          <t>Bu müşteriler listede değil; ayrı sekmede. Riskli kitle, henüz bozulmamış müşterileri gösterir.</t>
        </is>
      </c>
    </row>
    <row r="12">
      <c r="A12" s="7" t="inlineStr">
        <is>
          <t>Nasıl okunur</t>
        </is>
      </c>
    </row>
    <row r="13" ht="28" customHeight="1">
      <c r="A13" s="5" t="inlineStr">
        <is>
          <t>• Olumsuz sonuç olasılığı: müşterinin önümüzdeki 12 ayda başka bir bankada gecikmeye veya takibe düşme olasılığı tahmini.</t>
        </is>
      </c>
    </row>
    <row r="14" ht="28" customHeight="1">
      <c r="A14" s="5" t="inlineStr">
        <is>
          <t>• Kaç katı: bu olasılığın portföy ortalamasına oranı. Kademeler bu orana göre verilir (Yüksek ≥ 10x, Orta ≥ 5x, İzleme ≥ 3x).</t>
        </is>
      </c>
    </row>
    <row r="15" ht="28" customHeight="1">
      <c r="A15" s="5" t="inlineStr">
        <is>
          <t>• Neden 1 ve 2: olasılığı en çok yükselten iki sapma; müşterinin normali ve bugünkü değeriyle.</t>
        </is>
      </c>
    </row>
    <row r="16" ht="28" customHeight="1">
      <c r="A16" s="5" t="inlineStr">
        <is>
          <t>• Olasılıkla ağırlıklı risk: olasılık × bizim risk. Aynı kademede önceliği bu sütuna göre verin.</t>
        </is>
      </c>
    </row>
  </sheetData>
  <mergeCells count="5">
    <mergeCell ref="A2:E2"/>
    <mergeCell ref="A16:E16"/>
    <mergeCell ref="A15:E15"/>
    <mergeCell ref="A13:E13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1" customWidth="1" min="4" max="4"/>
    <col width="22" customWidth="1" min="5" max="5"/>
    <col width="13" customWidth="1" min="6" max="6"/>
    <col width="12" customWidth="1" min="7" max="7"/>
    <col width="10" customWidth="1" min="8" max="8"/>
    <col width="14" customWidth="1" min="9" max="9"/>
    <col width="13" customWidth="1" min="10" max="10"/>
    <col width="16" customWidth="1" min="11" max="11"/>
    <col width="16" customWidth="1" min="12" max="12"/>
    <col width="46" customWidth="1" min="13" max="13"/>
    <col width="46" customWidth="1" min="14" max="14"/>
    <col width="50" customWidth="1" min="15" max="15"/>
    <col width="13" customWidth="1" min="16" max="16"/>
  </cols>
  <sheetData>
    <row r="1" ht="30" customHeight="1">
      <c r="A1" s="3" t="inlineStr">
        <is>
          <t>Sıra</t>
        </is>
      </c>
      <c r="B1" s="3" t="inlineStr">
        <is>
          <t>Müşteri</t>
        </is>
      </c>
      <c r="C1" s="3" t="inlineStr">
        <is>
          <t>VKN</t>
        </is>
      </c>
      <c r="D1" s="3" t="inlineStr">
        <is>
          <t>Segment</t>
        </is>
      </c>
      <c r="E1" s="3" t="inlineStr">
        <is>
          <t>Sektör</t>
        </is>
      </c>
      <c r="F1" s="3" t="inlineStr">
        <is>
          <t>Bölge</t>
        </is>
      </c>
      <c r="G1" s="3" t="inlineStr">
        <is>
          <t>Portföy Yön.</t>
        </is>
      </c>
      <c r="H1" s="3" t="inlineStr">
        <is>
          <t>Kademe</t>
        </is>
      </c>
      <c r="I1" s="3" t="inlineStr">
        <is>
          <t>Olumsuz sonuç olasılığı (12 ay)</t>
        </is>
      </c>
      <c r="J1" s="3" t="inlineStr">
        <is>
          <t>Portföy ortalamasının kaç katı</t>
        </is>
      </c>
      <c r="K1" s="3" t="inlineStr">
        <is>
          <t>Bizim risk (TL)</t>
        </is>
      </c>
      <c r="L1" s="3" t="inlineStr">
        <is>
          <t>Olasılıkla ağırlıklı risk (TL)</t>
        </is>
      </c>
      <c r="M1" s="3" t="inlineStr">
        <is>
          <t>Neden 1</t>
        </is>
      </c>
      <c r="N1" s="3" t="inlineStr">
        <is>
          <t>Neden 2</t>
        </is>
      </c>
      <c r="O1" s="3" t="inlineStr">
        <is>
          <t>Önerilen aksiyon</t>
        </is>
      </c>
      <c r="P1" s="3" t="inlineStr">
        <is>
          <t>Son KKB sorgusu</t>
        </is>
      </c>
    </row>
    <row r="2">
      <c r="A2" s="10" t="n">
        <v>1</v>
      </c>
      <c r="B2" s="10" t="inlineStr">
        <is>
          <t>Müşteri 0521 A.Ş.</t>
        </is>
      </c>
      <c r="C2" s="10" t="inlineStr">
        <is>
          <t>9136163415</t>
        </is>
      </c>
      <c r="D2" s="10" t="inlineStr">
        <is>
          <t>KOBI</t>
        </is>
      </c>
      <c r="E2" s="10" t="inlineStr">
        <is>
          <t>İmalat</t>
        </is>
      </c>
      <c r="F2" s="10" t="inlineStr">
        <is>
          <t>İç Anadolu</t>
        </is>
      </c>
      <c r="G2" s="10" t="inlineStr">
        <is>
          <t>PY033</t>
        </is>
      </c>
      <c r="H2" s="10" t="inlineStr">
        <is>
          <t>Yüksek</t>
        </is>
      </c>
      <c r="I2" s="11" t="n">
        <v>0.9868711617739502</v>
      </c>
      <c r="J2" s="12">
        <f>I2/'Yöntem'!$C$6</f>
        <v/>
      </c>
      <c r="K2" s="13" t="n">
        <v>1371843</v>
      </c>
      <c r="L2" s="13">
        <f>I2*K2</f>
        <v/>
      </c>
      <c r="M2" s="10" t="inlineStr">
        <is>
          <t>KKB notu: normali 1598, şimdi 1332</t>
        </is>
      </c>
      <c r="N2" s="10" t="inlineStr">
        <is>
          <t>Karşılıksız çek: normali 0, şimdi 1</t>
        </is>
      </c>
      <c r="O2" s="10" t="inlineStr">
        <is>
          <t>1 hafta içinde ilişki yöneticisi ziyareti; limit artışı dondurulur; teminat gözden geçirilir</t>
        </is>
      </c>
      <c r="P2" s="14" t="n">
        <v>46234</v>
      </c>
    </row>
    <row r="3">
      <c r="A3" s="10" t="n">
        <v>2</v>
      </c>
      <c r="B3" s="10" t="inlineStr">
        <is>
          <t>Müşteri 0579 A.Ş.</t>
        </is>
      </c>
      <c r="C3" s="10" t="inlineStr">
        <is>
          <t>9684535692</t>
        </is>
      </c>
      <c r="D3" s="10" t="inlineStr">
        <is>
          <t>Ticari</t>
        </is>
      </c>
      <c r="E3" s="10" t="inlineStr">
        <is>
          <t>İmalat</t>
        </is>
      </c>
      <c r="F3" s="10" t="inlineStr">
        <is>
          <t>İç Anadolu</t>
        </is>
      </c>
      <c r="G3" s="10" t="inlineStr">
        <is>
          <t>PY033</t>
        </is>
      </c>
      <c r="H3" s="10" t="inlineStr">
        <is>
          <t>Yüksek</t>
        </is>
      </c>
      <c r="I3" s="11" t="n">
        <v>0.9831141756927844</v>
      </c>
      <c r="J3" s="12">
        <f>I3/'Yöntem'!$C$6</f>
        <v/>
      </c>
      <c r="K3" s="13" t="n">
        <v>17544513</v>
      </c>
      <c r="L3" s="13">
        <f>I3*K3</f>
        <v/>
      </c>
      <c r="M3" s="10" t="inlineStr">
        <is>
          <t>KKB notu: normali 1654, şimdi 1411</t>
        </is>
      </c>
      <c r="N3" s="10" t="inlineStr">
        <is>
          <t>Karşılıksız çek: normali 0, şimdi 3</t>
        </is>
      </c>
      <c r="O3" s="10" t="inlineStr">
        <is>
          <t>1 hafta içinde ilişki yöneticisi ziyareti; limit artışı dondurulur; teminat gözden geçirilir</t>
        </is>
      </c>
      <c r="P3" s="14" t="n">
        <v>46184</v>
      </c>
    </row>
    <row r="4">
      <c r="A4" s="10" t="n">
        <v>3</v>
      </c>
      <c r="B4" s="10" t="inlineStr">
        <is>
          <t>Müşteri 0003 A.Ş.</t>
        </is>
      </c>
      <c r="C4" s="10" t="inlineStr">
        <is>
          <t>9657261830</t>
        </is>
      </c>
      <c r="D4" s="10" t="inlineStr">
        <is>
          <t>KOBI</t>
        </is>
      </c>
      <c r="E4" s="10" t="inlineStr">
        <is>
          <t>İnşaat</t>
        </is>
      </c>
      <c r="F4" s="10" t="inlineStr">
        <is>
          <t>İç Anadolu</t>
        </is>
      </c>
      <c r="G4" s="10" t="inlineStr">
        <is>
          <t>PY033</t>
        </is>
      </c>
      <c r="H4" s="10" t="inlineStr">
        <is>
          <t>Yüksek</t>
        </is>
      </c>
      <c r="I4" s="11" t="n">
        <v>0.9704208299122687</v>
      </c>
      <c r="J4" s="12">
        <f>I4/'Yöntem'!$C$6</f>
        <v/>
      </c>
      <c r="K4" s="13" t="n">
        <v>3963277</v>
      </c>
      <c r="L4" s="13">
        <f>I4*K4</f>
        <v/>
      </c>
      <c r="M4" s="10" t="inlineStr">
        <is>
          <t>KKB notu: normali 1549, şimdi 1237</t>
        </is>
      </c>
      <c r="N4" s="10" t="inlineStr">
        <is>
          <t>Karşılıksız çek: normali 0, şimdi 1</t>
        </is>
      </c>
      <c r="O4" s="10" t="inlineStr">
        <is>
          <t>1 hafta içinde ilişki yöneticisi ziyareti; limit artışı dondurulur; teminat gözden geçirilir</t>
        </is>
      </c>
      <c r="P4" s="14" t="n">
        <v>46234</v>
      </c>
    </row>
    <row r="5">
      <c r="A5" s="10" t="n">
        <v>4</v>
      </c>
      <c r="B5" s="10" t="inlineStr">
        <is>
          <t>Müşteri 0198 A.Ş.</t>
        </is>
      </c>
      <c r="C5" s="10" t="inlineStr">
        <is>
          <t>9246120977</t>
        </is>
      </c>
      <c r="D5" s="10" t="inlineStr">
        <is>
          <t>Kurumsal</t>
        </is>
      </c>
      <c r="E5" s="10" t="inlineStr">
        <is>
          <t>Toptan ve perakende ticaret</t>
        </is>
      </c>
      <c r="F5" s="10" t="inlineStr">
        <is>
          <t>İç Anadolu</t>
        </is>
      </c>
      <c r="G5" s="10" t="inlineStr">
        <is>
          <t>PY032</t>
        </is>
      </c>
      <c r="H5" s="10" t="inlineStr">
        <is>
          <t>Yüksek</t>
        </is>
      </c>
      <c r="I5" s="11" t="n">
        <v>0.7662582906968821</v>
      </c>
      <c r="J5" s="12">
        <f>I5/'Yöntem'!$C$6</f>
        <v/>
      </c>
      <c r="K5" s="13" t="n">
        <v>103680430</v>
      </c>
      <c r="L5" s="13">
        <f>I5*K5</f>
        <v/>
      </c>
      <c r="M5" s="10" t="inlineStr">
        <is>
          <t>KKB notu: normali 1489, şimdi 1319</t>
        </is>
      </c>
      <c r="N5" s="10" t="inlineStr">
        <is>
          <t>Karşılıksız çek: normali 0, şimdi 1</t>
        </is>
      </c>
      <c r="O5" s="10" t="inlineStr">
        <is>
          <t>1 hafta içinde ilişki yöneticisi ziyareti; limit artışı dondurulur; teminat gözden geçirilir</t>
        </is>
      </c>
      <c r="P5" s="14" t="n">
        <v>46127</v>
      </c>
    </row>
    <row r="6">
      <c r="A6" s="10" t="n">
        <v>5</v>
      </c>
      <c r="B6" s="10" t="inlineStr">
        <is>
          <t>Müşteri 0073 A.Ş.</t>
        </is>
      </c>
      <c r="C6" s="10" t="inlineStr">
        <is>
          <t>9577971496</t>
        </is>
      </c>
      <c r="D6" s="10" t="inlineStr">
        <is>
          <t>KOBI</t>
        </is>
      </c>
      <c r="E6" s="10" t="inlineStr">
        <is>
          <t>Ulaştırma ve depolama</t>
        </is>
      </c>
      <c r="F6" s="10" t="inlineStr">
        <is>
          <t>Marmara</t>
        </is>
      </c>
      <c r="G6" s="10" t="inlineStr">
        <is>
          <t>PY012</t>
        </is>
      </c>
      <c r="H6" s="10" t="inlineStr">
        <is>
          <t>Yüksek</t>
        </is>
      </c>
      <c r="I6" s="11" t="n">
        <v>0.6573603371702849</v>
      </c>
      <c r="J6" s="12">
        <f>I6/'Yöntem'!$C$6</f>
        <v/>
      </c>
      <c r="K6" s="13" t="n">
        <v>1772763</v>
      </c>
      <c r="L6" s="13">
        <f>I6*K6</f>
        <v/>
      </c>
      <c r="M6" s="10" t="inlineStr">
        <is>
          <t>KKB notu: normali 1396, şimdi 1235</t>
        </is>
      </c>
      <c r="N6" s="10" t="inlineStr">
        <is>
          <t>Çalışılan banka sayısı: normali 2, şimdi 3</t>
        </is>
      </c>
      <c r="O6" s="10" t="inlineStr">
        <is>
          <t>1 hafta içinde ilişki yöneticisi ziyareti; limit artışı dondurulur; teminat gözden geçirilir</t>
        </is>
      </c>
      <c r="P6" s="14" t="n">
        <v>46077</v>
      </c>
    </row>
    <row r="7">
      <c r="A7" s="10" t="n">
        <v>6</v>
      </c>
      <c r="B7" s="10" t="inlineStr">
        <is>
          <t>Müşteri 0390 A.Ş.</t>
        </is>
      </c>
      <c r="C7" s="10" t="inlineStr">
        <is>
          <t>9371612080</t>
        </is>
      </c>
      <c r="D7" s="10" t="inlineStr">
        <is>
          <t>KOBI</t>
        </is>
      </c>
      <c r="E7" s="10" t="inlineStr">
        <is>
          <t>Konaklama ve yiyecek</t>
        </is>
      </c>
      <c r="F7" s="10" t="inlineStr">
        <is>
          <t>İç Anadolu</t>
        </is>
      </c>
      <c r="G7" s="10" t="inlineStr">
        <is>
          <t>PY032</t>
        </is>
      </c>
      <c r="H7" s="10" t="inlineStr">
        <is>
          <t>Yüksek</t>
        </is>
      </c>
      <c r="I7" s="11" t="n">
        <v>0.5877427442164491</v>
      </c>
      <c r="J7" s="12">
        <f>I7/'Yöntem'!$C$6</f>
        <v/>
      </c>
      <c r="K7" s="13" t="n">
        <v>4367896</v>
      </c>
      <c r="L7" s="13">
        <f>I7*K7</f>
        <v/>
      </c>
      <c r="M7" s="10" t="inlineStr">
        <is>
          <t>KKB notu: normali 1445, şimdi 1292</t>
        </is>
      </c>
      <c r="N7" s="10" t="inlineStr">
        <is>
          <t>Çalışılan banka sayısı: normali 5, şimdi 6</t>
        </is>
      </c>
      <c r="O7" s="10" t="inlineStr">
        <is>
          <t>1 hafta içinde ilişki yöneticisi ziyareti; limit artışı dondurulur; teminat gözden geçirilir</t>
        </is>
      </c>
      <c r="P7" s="14" t="n">
        <v>46265</v>
      </c>
    </row>
    <row r="8">
      <c r="A8" s="10" t="n">
        <v>7</v>
      </c>
      <c r="B8" s="10" t="inlineStr">
        <is>
          <t>Müşteri 0280 A.Ş.</t>
        </is>
      </c>
      <c r="C8" s="10" t="inlineStr">
        <is>
          <t>9440981160</t>
        </is>
      </c>
      <c r="D8" s="10" t="inlineStr">
        <is>
          <t>Ticari</t>
        </is>
      </c>
      <c r="E8" s="10" t="inlineStr">
        <is>
          <t>Toptan ve perakende ticaret</t>
        </is>
      </c>
      <c r="F8" s="10" t="inlineStr">
        <is>
          <t>İç Anadolu</t>
        </is>
      </c>
      <c r="G8" s="10" t="inlineStr">
        <is>
          <t>PY101</t>
        </is>
      </c>
      <c r="H8" s="10" t="inlineStr">
        <is>
          <t>Yüksek</t>
        </is>
      </c>
      <c r="I8" s="11" t="n">
        <v>0.5829254613731315</v>
      </c>
      <c r="J8" s="12">
        <f>I8/'Yöntem'!$C$6</f>
        <v/>
      </c>
      <c r="K8" s="13" t="n">
        <v>9569433</v>
      </c>
      <c r="L8" s="13">
        <f>I8*K8</f>
        <v/>
      </c>
      <c r="M8" s="10" t="inlineStr">
        <is>
          <t>KKB notu: normali 1502, şimdi 1321</t>
        </is>
      </c>
      <c r="N8" s="10" t="inlineStr">
        <is>
          <t>Çalışılan banka sayısı: normali 5, şimdi 6</t>
        </is>
      </c>
      <c r="O8" s="10" t="inlineStr">
        <is>
          <t>1 hafta içinde ilişki yöneticisi ziyareti; limit artışı dondurulur; teminat gözden geçirilir</t>
        </is>
      </c>
      <c r="P8" s="14" t="n">
        <v>46182</v>
      </c>
    </row>
    <row r="9">
      <c r="A9" s="10" t="n">
        <v>8</v>
      </c>
      <c r="B9" s="10" t="inlineStr">
        <is>
          <t>Müşteri 0498 A.Ş.</t>
        </is>
      </c>
      <c r="C9" s="10" t="inlineStr">
        <is>
          <t>9585576534</t>
        </is>
      </c>
      <c r="D9" s="10" t="inlineStr">
        <is>
          <t>KOBI</t>
        </is>
      </c>
      <c r="E9" s="10" t="inlineStr">
        <is>
          <t>Toptan ve perakende ticaret</t>
        </is>
      </c>
      <c r="F9" s="10" t="inlineStr">
        <is>
          <t>Ege</t>
        </is>
      </c>
      <c r="G9" s="10" t="inlineStr">
        <is>
          <t>PY063</t>
        </is>
      </c>
      <c r="H9" s="10" t="inlineStr">
        <is>
          <t>Orta</t>
        </is>
      </c>
      <c r="I9" s="11" t="n">
        <v>0.241513304462677</v>
      </c>
      <c r="J9" s="12">
        <f>I9/'Yöntem'!$C$6</f>
        <v/>
      </c>
      <c r="K9" s="13" t="n">
        <v>0</v>
      </c>
      <c r="L9" s="13">
        <f>I9*K9</f>
        <v/>
      </c>
      <c r="M9" s="10" t="inlineStr">
        <is>
          <t>KKB notu: normali 1496, şimdi 1409</t>
        </is>
      </c>
      <c r="N9" s="10" t="inlineStr">
        <is>
          <t>Çalışılan banka sayısı: normali 4, şimdi 5</t>
        </is>
      </c>
      <c r="O9" s="10" t="inlineStr">
        <is>
          <t>2 hafta içinde analist incelemesi; yeni limit kararı kredi komitesine</t>
        </is>
      </c>
      <c r="P9" s="14" t="n">
        <v>46290</v>
      </c>
    </row>
    <row r="10">
      <c r="A10" s="10" t="n">
        <v>9</v>
      </c>
      <c r="B10" s="10" t="inlineStr">
        <is>
          <t>Müşteri 0065 A.Ş.</t>
        </is>
      </c>
      <c r="C10" s="10" t="inlineStr">
        <is>
          <t>9275611816</t>
        </is>
      </c>
      <c r="D10" s="10" t="inlineStr">
        <is>
          <t>Ticari</t>
        </is>
      </c>
      <c r="E10" s="10" t="inlineStr">
        <is>
          <t>İnşaat</t>
        </is>
      </c>
      <c r="F10" s="10" t="inlineStr">
        <is>
          <t>İç Anadolu</t>
        </is>
      </c>
      <c r="G10" s="10" t="inlineStr">
        <is>
          <t>PY031</t>
        </is>
      </c>
      <c r="H10" s="10" t="inlineStr">
        <is>
          <t>İzleme</t>
        </is>
      </c>
      <c r="I10" s="11" t="n">
        <v>0.2118685647511152</v>
      </c>
      <c r="J10" s="12">
        <f>I10/'Yöntem'!$C$6</f>
        <v/>
      </c>
      <c r="K10" s="13" t="n">
        <v>6155443</v>
      </c>
      <c r="L10" s="13">
        <f>I10*K10</f>
        <v/>
      </c>
      <c r="M10" s="10" t="inlineStr">
        <is>
          <t>KKB notu: normali 1265, şimdi 1201</t>
        </is>
      </c>
      <c r="N10" s="10" t="inlineStr">
        <is>
          <t>Çalışılan banka sayısı: normali 6, şimdi 7</t>
        </is>
      </c>
      <c r="O10" s="10" t="inlineStr">
        <is>
          <t>Aylık izleme listesine alınır; bir sonraki KKB sorgusu öne çekilir</t>
        </is>
      </c>
      <c r="P10" s="14" t="n">
        <v>46241</v>
      </c>
    </row>
    <row r="11">
      <c r="A11" s="10" t="n">
        <v>10</v>
      </c>
      <c r="B11" s="10" t="inlineStr">
        <is>
          <t>Müşteri 0045 A.Ş.</t>
        </is>
      </c>
      <c r="C11" s="10" t="inlineStr">
        <is>
          <t>9267156736</t>
        </is>
      </c>
      <c r="D11" s="10" t="inlineStr">
        <is>
          <t>Ticari</t>
        </is>
      </c>
      <c r="E11" s="10" t="inlineStr">
        <is>
          <t>İmalat</t>
        </is>
      </c>
      <c r="F11" s="10" t="inlineStr">
        <is>
          <t>Akdeniz</t>
        </is>
      </c>
      <c r="G11" s="10" t="inlineStr">
        <is>
          <t>PY082</t>
        </is>
      </c>
      <c r="H11" s="10" t="inlineStr">
        <is>
          <t>İzleme</t>
        </is>
      </c>
      <c r="I11" s="11" t="n">
        <v>0.1605476344062563</v>
      </c>
      <c r="J11" s="12">
        <f>I11/'Yöntem'!$C$6</f>
        <v/>
      </c>
      <c r="K11" s="13" t="n">
        <v>14544040</v>
      </c>
      <c r="L11" s="13">
        <f>I11*K11</f>
        <v/>
      </c>
      <c r="M11" s="10" t="inlineStr">
        <is>
          <t>KKB notu: normali 1444, şimdi 1322</t>
        </is>
      </c>
      <c r="N11" s="10" t="inlineStr">
        <is>
          <t>Çalışılan banka sayısı: normali 5, şimdi 6</t>
        </is>
      </c>
      <c r="O11" s="10" t="inlineStr">
        <is>
          <t>Aylık izleme listesine alınır; bir sonraki KKB sorgusu öne çekilir</t>
        </is>
      </c>
      <c r="P11" s="14" t="n">
        <v>46078</v>
      </c>
    </row>
    <row r="12">
      <c r="A12" s="10" t="n">
        <v>11</v>
      </c>
      <c r="B12" s="10" t="inlineStr">
        <is>
          <t>Müşteri 0329 A.Ş.</t>
        </is>
      </c>
      <c r="C12" s="10" t="inlineStr">
        <is>
          <t>9105758806</t>
        </is>
      </c>
      <c r="D12" s="10" t="inlineStr">
        <is>
          <t>Ticari</t>
        </is>
      </c>
      <c r="E12" s="10" t="inlineStr">
        <is>
          <t>İnşaat</t>
        </is>
      </c>
      <c r="F12" s="10" t="inlineStr">
        <is>
          <t>Marmara</t>
        </is>
      </c>
      <c r="G12" s="10" t="inlineStr">
        <is>
          <t>PY022</t>
        </is>
      </c>
      <c r="H12" s="10" t="inlineStr">
        <is>
          <t>İzleme</t>
        </is>
      </c>
      <c r="I12" s="11" t="n">
        <v>0.1532876897095427</v>
      </c>
      <c r="J12" s="12">
        <f>I12/'Yöntem'!$C$6</f>
        <v/>
      </c>
      <c r="K12" s="13" t="n">
        <v>0</v>
      </c>
      <c r="L12" s="13">
        <f>I12*K12</f>
        <v/>
      </c>
      <c r="M12" s="10" t="inlineStr">
        <is>
          <t>Çalışılan banka sayısı: normali 4, şimdi 5</t>
        </is>
      </c>
      <c r="N12" s="10" t="inlineStr">
        <is>
          <t>KKB notu: normali 1337, şimdi 1316</t>
        </is>
      </c>
      <c r="O12" s="10" t="inlineStr">
        <is>
          <t>Aylık izleme listesine alınır; bir sonraki KKB sorgusu öne çekilir</t>
        </is>
      </c>
      <c r="P12" s="14" t="n">
        <v>46290</v>
      </c>
    </row>
    <row r="13">
      <c r="A13" s="10" t="n">
        <v>12</v>
      </c>
      <c r="B13" s="10" t="inlineStr">
        <is>
          <t>Müşteri 0466 A.Ş.</t>
        </is>
      </c>
      <c r="C13" s="10" t="inlineStr">
        <is>
          <t>9768900784</t>
        </is>
      </c>
      <c r="D13" s="10" t="inlineStr">
        <is>
          <t>KOBI</t>
        </is>
      </c>
      <c r="E13" s="10" t="inlineStr">
        <is>
          <t>Konaklama ve yiyecek</t>
        </is>
      </c>
      <c r="F13" s="10" t="inlineStr">
        <is>
          <t>Marmara</t>
        </is>
      </c>
      <c r="G13" s="10" t="inlineStr">
        <is>
          <t>PY002</t>
        </is>
      </c>
      <c r="H13" s="10" t="inlineStr">
        <is>
          <t>İzleme</t>
        </is>
      </c>
      <c r="I13" s="11" t="n">
        <v>0.1530550786288933</v>
      </c>
      <c r="J13" s="12">
        <f>I13/'Yöntem'!$C$6</f>
        <v/>
      </c>
      <c r="K13" s="13" t="n">
        <v>0</v>
      </c>
      <c r="L13" s="13">
        <f>I13*K13</f>
        <v/>
      </c>
      <c r="M13" s="10" t="inlineStr">
        <is>
          <t>KKB notu: normali 1268, şimdi 1218</t>
        </is>
      </c>
      <c r="N13" s="10" t="inlineStr">
        <is>
          <t>Çalışılan banka sayısı: normali 6, şimdi 7</t>
        </is>
      </c>
      <c r="O13" s="10" t="inlineStr">
        <is>
          <t>Aylık izleme listesine alınır; bir sonraki KKB sorgusu öne çekilir</t>
        </is>
      </c>
      <c r="P13" s="14" t="n">
        <v>46216</v>
      </c>
    </row>
  </sheetData>
  <autoFilter ref="A1:P13"/>
  <conditionalFormatting sqref="A2:P13">
    <cfRule type="expression" priority="1" dxfId="0">
      <formula>$H2="Yüksek"</formula>
    </cfRule>
    <cfRule type="expression" priority="2" dxfId="1">
      <formula>$H2="Orta"</formula>
    </cfRule>
    <cfRule type="expression" priority="3" dxfId="2">
      <formula>$H2="İzleme"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1" customWidth="1" min="4" max="4"/>
    <col width="22" customWidth="1" min="5" max="5"/>
    <col width="13" customWidth="1" min="6" max="6"/>
    <col width="12" customWidth="1" min="7" max="7"/>
    <col width="12" customWidth="1" min="8" max="8"/>
    <col width="16" customWidth="1" min="9" max="9"/>
    <col width="13" customWidth="1" min="10" max="10"/>
  </cols>
  <sheetData>
    <row r="1" ht="30" customHeight="1">
      <c r="A1" s="3" t="inlineStr">
        <is>
          <t>Sıra</t>
        </is>
      </c>
      <c r="B1" s="3" t="inlineStr">
        <is>
          <t>Müşteri</t>
        </is>
      </c>
      <c r="C1" s="3" t="inlineStr">
        <is>
          <t>VKN</t>
        </is>
      </c>
      <c r="D1" s="3" t="inlineStr">
        <is>
          <t>Segment</t>
        </is>
      </c>
      <c r="E1" s="3" t="inlineStr">
        <is>
          <t>Sektör</t>
        </is>
      </c>
      <c r="F1" s="3" t="inlineStr">
        <is>
          <t>Bölge</t>
        </is>
      </c>
      <c r="G1" s="3" t="inlineStr">
        <is>
          <t>Portföy Yön.</t>
        </is>
      </c>
      <c r="H1" s="3" t="inlineStr">
        <is>
          <t>Durum</t>
        </is>
      </c>
      <c r="I1" s="3" t="inlineStr">
        <is>
          <t>Bizim risk (TL)</t>
        </is>
      </c>
      <c r="J1" s="3" t="inlineStr">
        <is>
          <t>Son KKB sorgusu</t>
        </is>
      </c>
    </row>
    <row r="2">
      <c r="A2" s="15" t="n">
        <v>1</v>
      </c>
      <c r="B2" s="15" t="inlineStr">
        <is>
          <t>Müşteri 0325 A.Ş.</t>
        </is>
      </c>
      <c r="C2" s="15" t="inlineStr">
        <is>
          <t>9861370355</t>
        </is>
      </c>
      <c r="D2" s="15" t="inlineStr">
        <is>
          <t>Kurumsal</t>
        </is>
      </c>
      <c r="E2" s="15" t="inlineStr">
        <is>
          <t>Konaklama ve yiyecek</t>
        </is>
      </c>
      <c r="F2" s="15" t="inlineStr">
        <is>
          <t>İç Anadolu</t>
        </is>
      </c>
      <c r="G2" s="15" t="inlineStr">
        <is>
          <t>PY033</t>
        </is>
      </c>
      <c r="H2" s="15" t="inlineStr">
        <is>
          <t>Gecikmede</t>
        </is>
      </c>
      <c r="I2" s="16" t="n">
        <v>765838799</v>
      </c>
      <c r="J2" s="17" t="n">
        <v>46290</v>
      </c>
    </row>
    <row r="3">
      <c r="A3" s="15" t="n">
        <v>2</v>
      </c>
      <c r="B3" s="15" t="inlineStr">
        <is>
          <t>Müşteri 0252 A.Ş.</t>
        </is>
      </c>
      <c r="C3" s="15" t="inlineStr">
        <is>
          <t>9161259812</t>
        </is>
      </c>
      <c r="D3" s="15" t="inlineStr">
        <is>
          <t>Kurumsal</t>
        </is>
      </c>
      <c r="E3" s="15" t="inlineStr">
        <is>
          <t>Mesleki ve teknik faaliyetler</t>
        </is>
      </c>
      <c r="F3" s="15" t="inlineStr">
        <is>
          <t>Ege</t>
        </is>
      </c>
      <c r="G3" s="15" t="inlineStr">
        <is>
          <t>PY052</t>
        </is>
      </c>
      <c r="H3" s="15" t="inlineStr">
        <is>
          <t>Takipte</t>
        </is>
      </c>
      <c r="I3" s="16" t="n">
        <v>215804074</v>
      </c>
      <c r="J3" s="17" t="n">
        <v>46272</v>
      </c>
    </row>
    <row r="4">
      <c r="A4" s="15" t="n">
        <v>3</v>
      </c>
      <c r="B4" s="15" t="inlineStr">
        <is>
          <t>Müşteri 0241 A.Ş.</t>
        </is>
      </c>
      <c r="C4" s="15" t="inlineStr">
        <is>
          <t>9303680074</t>
        </is>
      </c>
      <c r="D4" s="15" t="inlineStr">
        <is>
          <t>Kurumsal</t>
        </is>
      </c>
      <c r="E4" s="15" t="inlineStr">
        <is>
          <t>Konaklama ve yiyecek</t>
        </is>
      </c>
      <c r="F4" s="15" t="inlineStr">
        <is>
          <t>İç Anadolu</t>
        </is>
      </c>
      <c r="G4" s="15" t="inlineStr">
        <is>
          <t>PY033</t>
        </is>
      </c>
      <c r="H4" s="15" t="inlineStr">
        <is>
          <t>Gecikmede</t>
        </is>
      </c>
      <c r="I4" s="16" t="n">
        <v>160397935</v>
      </c>
      <c r="J4" s="17" t="n">
        <v>46265</v>
      </c>
    </row>
    <row r="5">
      <c r="A5" s="15" t="n">
        <v>4</v>
      </c>
      <c r="B5" s="15" t="inlineStr">
        <is>
          <t>Müşteri 0452 A.Ş.</t>
        </is>
      </c>
      <c r="C5" s="15" t="inlineStr">
        <is>
          <t>9633650607</t>
        </is>
      </c>
      <c r="D5" s="15" t="inlineStr">
        <is>
          <t>Kurumsal</t>
        </is>
      </c>
      <c r="E5" s="15" t="inlineStr">
        <is>
          <t>İmalat</t>
        </is>
      </c>
      <c r="F5" s="15" t="inlineStr">
        <is>
          <t>Marmara</t>
        </is>
      </c>
      <c r="G5" s="15" t="inlineStr">
        <is>
          <t>PY002</t>
        </is>
      </c>
      <c r="H5" s="15" t="inlineStr">
        <is>
          <t>Gecikmede</t>
        </is>
      </c>
      <c r="I5" s="16" t="n">
        <v>136113802</v>
      </c>
      <c r="J5" s="17" t="n">
        <v>46157</v>
      </c>
    </row>
    <row r="6">
      <c r="A6" s="15" t="n">
        <v>5</v>
      </c>
      <c r="B6" s="15" t="inlineStr">
        <is>
          <t>Müşteri 0441 A.Ş.</t>
        </is>
      </c>
      <c r="C6" s="15" t="inlineStr">
        <is>
          <t>9473402071</t>
        </is>
      </c>
      <c r="D6" s="15" t="inlineStr">
        <is>
          <t>Kurumsal</t>
        </is>
      </c>
      <c r="E6" s="15" t="inlineStr">
        <is>
          <t>Toptan ve perakende ticaret</t>
        </is>
      </c>
      <c r="F6" s="15" t="inlineStr">
        <is>
          <t>Marmara</t>
        </is>
      </c>
      <c r="G6" s="15" t="inlineStr">
        <is>
          <t>PY002</t>
        </is>
      </c>
      <c r="H6" s="15" t="inlineStr">
        <is>
          <t>Gecikmede</t>
        </is>
      </c>
      <c r="I6" s="16" t="n">
        <v>131612907</v>
      </c>
      <c r="J6" s="17" t="n">
        <v>46290</v>
      </c>
    </row>
    <row r="7">
      <c r="A7" s="15" t="n">
        <v>6</v>
      </c>
      <c r="B7" s="15" t="inlineStr">
        <is>
          <t>Müşteri 0116 A.Ş.</t>
        </is>
      </c>
      <c r="C7" s="15" t="inlineStr">
        <is>
          <t>9220836521</t>
        </is>
      </c>
      <c r="D7" s="15" t="inlineStr">
        <is>
          <t>Kurumsal</t>
        </is>
      </c>
      <c r="E7" s="15" t="inlineStr">
        <is>
          <t>Mesleki ve teknik faaliyetler</t>
        </is>
      </c>
      <c r="F7" s="15" t="inlineStr">
        <is>
          <t>Marmara</t>
        </is>
      </c>
      <c r="G7" s="15" t="inlineStr">
        <is>
          <t>PY002</t>
        </is>
      </c>
      <c r="H7" s="15" t="inlineStr">
        <is>
          <t>Gecikmede</t>
        </is>
      </c>
      <c r="I7" s="16" t="n">
        <v>93529419</v>
      </c>
      <c r="J7" s="17" t="n">
        <v>46136</v>
      </c>
    </row>
    <row r="8">
      <c r="A8" s="15" t="n">
        <v>7</v>
      </c>
      <c r="B8" s="15" t="inlineStr">
        <is>
          <t>Müşteri 0019 A.Ş.</t>
        </is>
      </c>
      <c r="C8" s="15" t="inlineStr">
        <is>
          <t>9577757216</t>
        </is>
      </c>
      <c r="D8" s="15" t="inlineStr">
        <is>
          <t>Kurumsal</t>
        </is>
      </c>
      <c r="E8" s="15" t="inlineStr">
        <is>
          <t>Ulaştırma ve depolama</t>
        </is>
      </c>
      <c r="F8" s="15" t="inlineStr">
        <is>
          <t>Ege</t>
        </is>
      </c>
      <c r="G8" s="15" t="inlineStr">
        <is>
          <t>PY052</t>
        </is>
      </c>
      <c r="H8" s="15" t="inlineStr">
        <is>
          <t>Gecikmede</t>
        </is>
      </c>
      <c r="I8" s="16" t="n">
        <v>61711550</v>
      </c>
      <c r="J8" s="17" t="n">
        <v>46225</v>
      </c>
    </row>
    <row r="9">
      <c r="A9" s="15" t="n">
        <v>8</v>
      </c>
      <c r="B9" s="15" t="inlineStr">
        <is>
          <t>Müşteri 0181 A.Ş.</t>
        </is>
      </c>
      <c r="C9" s="15" t="inlineStr">
        <is>
          <t>9388765066</t>
        </is>
      </c>
      <c r="D9" s="15" t="inlineStr">
        <is>
          <t>Ticari</t>
        </is>
      </c>
      <c r="E9" s="15" t="inlineStr">
        <is>
          <t>Konaklama ve yiyecek</t>
        </is>
      </c>
      <c r="F9" s="15" t="inlineStr">
        <is>
          <t>Marmara</t>
        </is>
      </c>
      <c r="G9" s="15" t="inlineStr">
        <is>
          <t>PY011</t>
        </is>
      </c>
      <c r="H9" s="15" t="inlineStr">
        <is>
          <t>Gecikmede</t>
        </is>
      </c>
      <c r="I9" s="16" t="n">
        <v>52599495</v>
      </c>
      <c r="J9" s="17" t="n">
        <v>46199</v>
      </c>
    </row>
    <row r="10">
      <c r="A10" s="15" t="n">
        <v>9</v>
      </c>
      <c r="B10" s="15" t="inlineStr">
        <is>
          <t>Müşteri 0167 A.Ş.</t>
        </is>
      </c>
      <c r="C10" s="15" t="inlineStr">
        <is>
          <t>9164665301</t>
        </is>
      </c>
      <c r="D10" s="15" t="inlineStr">
        <is>
          <t>Kurumsal</t>
        </is>
      </c>
      <c r="E10" s="15" t="inlineStr">
        <is>
          <t>Toptan ve perakende ticaret</t>
        </is>
      </c>
      <c r="F10" s="15" t="inlineStr">
        <is>
          <t>İç Anadolu</t>
        </is>
      </c>
      <c r="G10" s="15" t="inlineStr">
        <is>
          <t>PY032</t>
        </is>
      </c>
      <c r="H10" s="15" t="inlineStr">
        <is>
          <t>Gecikmede</t>
        </is>
      </c>
      <c r="I10" s="16" t="n">
        <v>45743615</v>
      </c>
      <c r="J10" s="17" t="n">
        <v>46227</v>
      </c>
    </row>
    <row r="11">
      <c r="A11" s="15" t="n">
        <v>10</v>
      </c>
      <c r="B11" s="15" t="inlineStr">
        <is>
          <t>Müşteri 0397 A.Ş.</t>
        </is>
      </c>
      <c r="C11" s="15" t="inlineStr">
        <is>
          <t>9837692397</t>
        </is>
      </c>
      <c r="D11" s="15" t="inlineStr">
        <is>
          <t>Ticari</t>
        </is>
      </c>
      <c r="E11" s="15" t="inlineStr">
        <is>
          <t>Ulaştırma ve depolama</t>
        </is>
      </c>
      <c r="F11" s="15" t="inlineStr">
        <is>
          <t>Marmara</t>
        </is>
      </c>
      <c r="G11" s="15" t="inlineStr">
        <is>
          <t>PY023</t>
        </is>
      </c>
      <c r="H11" s="15" t="inlineStr">
        <is>
          <t>Gecikmede</t>
        </is>
      </c>
      <c r="I11" s="16" t="n">
        <v>32540928</v>
      </c>
      <c r="J11" s="17" t="n">
        <v>46220</v>
      </c>
    </row>
    <row r="12">
      <c r="A12" s="15" t="n">
        <v>11</v>
      </c>
      <c r="B12" s="15" t="inlineStr">
        <is>
          <t>Müşteri 0502 A.Ş.</t>
        </is>
      </c>
      <c r="C12" s="15" t="inlineStr">
        <is>
          <t>9275877629</t>
        </is>
      </c>
      <c r="D12" s="15" t="inlineStr">
        <is>
          <t>Ticari</t>
        </is>
      </c>
      <c r="E12" s="15" t="inlineStr">
        <is>
          <t>İmalat</t>
        </is>
      </c>
      <c r="F12" s="15" t="inlineStr">
        <is>
          <t>Akdeniz</t>
        </is>
      </c>
      <c r="G12" s="15" t="inlineStr">
        <is>
          <t>PY081</t>
        </is>
      </c>
      <c r="H12" s="15" t="inlineStr">
        <is>
          <t>Gecikmede</t>
        </is>
      </c>
      <c r="I12" s="16" t="n">
        <v>23384909</v>
      </c>
      <c r="J12" s="17" t="n">
        <v>46266</v>
      </c>
    </row>
    <row r="13">
      <c r="A13" s="15" t="n">
        <v>12</v>
      </c>
      <c r="B13" s="15" t="inlineStr">
        <is>
          <t>Müşteri 0406 A.Ş.</t>
        </is>
      </c>
      <c r="C13" s="15" t="inlineStr">
        <is>
          <t>9736804248</t>
        </is>
      </c>
      <c r="D13" s="15" t="inlineStr">
        <is>
          <t>Ticari</t>
        </is>
      </c>
      <c r="E13" s="15" t="inlineStr">
        <is>
          <t>Toptan ve perakende ticaret</t>
        </is>
      </c>
      <c r="F13" s="15" t="inlineStr">
        <is>
          <t>Akdeniz</t>
        </is>
      </c>
      <c r="G13" s="15" t="inlineStr">
        <is>
          <t>PY072</t>
        </is>
      </c>
      <c r="H13" s="15" t="inlineStr">
        <is>
          <t>Takipte</t>
        </is>
      </c>
      <c r="I13" s="16" t="n">
        <v>21087809</v>
      </c>
      <c r="J13" s="17" t="n">
        <v>46290</v>
      </c>
    </row>
    <row r="14">
      <c r="A14" s="15" t="n">
        <v>13</v>
      </c>
      <c r="B14" s="15" t="inlineStr">
        <is>
          <t>Müşteri 0370 A.Ş.</t>
        </is>
      </c>
      <c r="C14" s="15" t="inlineStr">
        <is>
          <t>9466170255</t>
        </is>
      </c>
      <c r="D14" s="15" t="inlineStr">
        <is>
          <t>Ticari</t>
        </is>
      </c>
      <c r="E14" s="15" t="inlineStr">
        <is>
          <t>Mesleki ve teknik faaliyetler</t>
        </is>
      </c>
      <c r="F14" s="15" t="inlineStr">
        <is>
          <t>Ege</t>
        </is>
      </c>
      <c r="G14" s="15" t="inlineStr">
        <is>
          <t>PY052</t>
        </is>
      </c>
      <c r="H14" s="15" t="inlineStr">
        <is>
          <t>Takipte</t>
        </is>
      </c>
      <c r="I14" s="16" t="n">
        <v>20464293</v>
      </c>
      <c r="J14" s="17" t="n">
        <v>46293</v>
      </c>
    </row>
    <row r="15">
      <c r="A15" s="15" t="n">
        <v>14</v>
      </c>
      <c r="B15" s="15" t="inlineStr">
        <is>
          <t>Müşteri 0575 A.Ş.</t>
        </is>
      </c>
      <c r="C15" s="15" t="inlineStr">
        <is>
          <t>9481902785</t>
        </is>
      </c>
      <c r="D15" s="15" t="inlineStr">
        <is>
          <t>Ticari</t>
        </is>
      </c>
      <c r="E15" s="15" t="inlineStr">
        <is>
          <t>Konaklama ve yiyecek</t>
        </is>
      </c>
      <c r="F15" s="15" t="inlineStr">
        <is>
          <t>Marmara</t>
        </is>
      </c>
      <c r="G15" s="15" t="inlineStr">
        <is>
          <t>PY012</t>
        </is>
      </c>
      <c r="H15" s="15" t="inlineStr">
        <is>
          <t>Gecikmede</t>
        </is>
      </c>
      <c r="I15" s="16" t="n">
        <v>15322487</v>
      </c>
      <c r="J15" s="17" t="n">
        <v>46259</v>
      </c>
    </row>
    <row r="16">
      <c r="A16" s="15" t="n">
        <v>15</v>
      </c>
      <c r="B16" s="15" t="inlineStr">
        <is>
          <t>Müşteri 0194 A.Ş.</t>
        </is>
      </c>
      <c r="C16" s="15" t="inlineStr">
        <is>
          <t>9533832130</t>
        </is>
      </c>
      <c r="D16" s="15" t="inlineStr">
        <is>
          <t>Kurumsal</t>
        </is>
      </c>
      <c r="E16" s="15" t="inlineStr">
        <is>
          <t>Konaklama ve yiyecek</t>
        </is>
      </c>
      <c r="F16" s="15" t="inlineStr">
        <is>
          <t>İç Anadolu</t>
        </is>
      </c>
      <c r="G16" s="15" t="inlineStr">
        <is>
          <t>PY032</t>
        </is>
      </c>
      <c r="H16" s="15" t="inlineStr">
        <is>
          <t>Gecikmede</t>
        </is>
      </c>
      <c r="I16" s="16" t="n">
        <v>13518056</v>
      </c>
      <c r="J16" s="17" t="n">
        <v>46272</v>
      </c>
    </row>
    <row r="17">
      <c r="A17" s="15" t="n">
        <v>16</v>
      </c>
      <c r="B17" s="15" t="inlineStr">
        <is>
          <t>Müşteri 0279 A.Ş.</t>
        </is>
      </c>
      <c r="C17" s="15" t="inlineStr">
        <is>
          <t>9320030683</t>
        </is>
      </c>
      <c r="D17" s="15" t="inlineStr">
        <is>
          <t>Ticari</t>
        </is>
      </c>
      <c r="E17" s="15" t="inlineStr">
        <is>
          <t>Toptan ve perakende ticaret</t>
        </is>
      </c>
      <c r="F17" s="15" t="inlineStr">
        <is>
          <t>Marmara</t>
        </is>
      </c>
      <c r="G17" s="15" t="inlineStr">
        <is>
          <t>PY013</t>
        </is>
      </c>
      <c r="H17" s="15" t="inlineStr">
        <is>
          <t>Gecikmede</t>
        </is>
      </c>
      <c r="I17" s="16" t="n">
        <v>12324794</v>
      </c>
      <c r="J17" s="17" t="n">
        <v>46175</v>
      </c>
    </row>
    <row r="18">
      <c r="A18" s="15" t="n">
        <v>17</v>
      </c>
      <c r="B18" s="15" t="inlineStr">
        <is>
          <t>Müşteri 0151 A.Ş.</t>
        </is>
      </c>
      <c r="C18" s="15" t="inlineStr">
        <is>
          <t>9155149048</t>
        </is>
      </c>
      <c r="D18" s="15" t="inlineStr">
        <is>
          <t>Ticari</t>
        </is>
      </c>
      <c r="E18" s="15" t="inlineStr">
        <is>
          <t>Mesleki ve teknik faaliyetler</t>
        </is>
      </c>
      <c r="F18" s="15" t="inlineStr">
        <is>
          <t>Güneydoğu</t>
        </is>
      </c>
      <c r="G18" s="15" t="inlineStr">
        <is>
          <t>PY092</t>
        </is>
      </c>
      <c r="H18" s="15" t="inlineStr">
        <is>
          <t>Gecikmede</t>
        </is>
      </c>
      <c r="I18" s="16" t="n">
        <v>10599015</v>
      </c>
      <c r="J18" s="17" t="n">
        <v>46269</v>
      </c>
    </row>
    <row r="19">
      <c r="A19" s="15" t="n">
        <v>18</v>
      </c>
      <c r="B19" s="15" t="inlineStr">
        <is>
          <t>Müşteri 0520 A.Ş.</t>
        </is>
      </c>
      <c r="C19" s="15" t="inlineStr">
        <is>
          <t>9704786083</t>
        </is>
      </c>
      <c r="D19" s="15" t="inlineStr">
        <is>
          <t>KOBI</t>
        </is>
      </c>
      <c r="E19" s="15" t="inlineStr">
        <is>
          <t>İnşaat</t>
        </is>
      </c>
      <c r="F19" s="15" t="inlineStr">
        <is>
          <t>Ege</t>
        </is>
      </c>
      <c r="G19" s="15" t="inlineStr">
        <is>
          <t>PY052</t>
        </is>
      </c>
      <c r="H19" s="15" t="inlineStr">
        <is>
          <t>Takipte</t>
        </is>
      </c>
      <c r="I19" s="16" t="n">
        <v>10580093</v>
      </c>
      <c r="J19" s="17" t="n">
        <v>46281</v>
      </c>
    </row>
    <row r="20">
      <c r="A20" s="15" t="n">
        <v>19</v>
      </c>
      <c r="B20" s="15" t="inlineStr">
        <is>
          <t>Müşteri 0428 A.Ş.</t>
        </is>
      </c>
      <c r="C20" s="15" t="inlineStr">
        <is>
          <t>9125463074</t>
        </is>
      </c>
      <c r="D20" s="15" t="inlineStr">
        <is>
          <t>Ticari</t>
        </is>
      </c>
      <c r="E20" s="15" t="inlineStr">
        <is>
          <t>Ulaştırma ve depolama</t>
        </is>
      </c>
      <c r="F20" s="15" t="inlineStr">
        <is>
          <t>Marmara</t>
        </is>
      </c>
      <c r="G20" s="15" t="inlineStr">
        <is>
          <t>PY002</t>
        </is>
      </c>
      <c r="H20" s="15" t="inlineStr">
        <is>
          <t>Gecikmede</t>
        </is>
      </c>
      <c r="I20" s="16" t="n">
        <v>10132463</v>
      </c>
      <c r="J20" s="17" t="n">
        <v>46175</v>
      </c>
    </row>
    <row r="21">
      <c r="A21" s="15" t="n">
        <v>20</v>
      </c>
      <c r="B21" s="15" t="inlineStr">
        <is>
          <t>Müşteri 0152 A.Ş.</t>
        </is>
      </c>
      <c r="C21" s="15" t="inlineStr">
        <is>
          <t>9622216194</t>
        </is>
      </c>
      <c r="D21" s="15" t="inlineStr">
        <is>
          <t>Ticari</t>
        </is>
      </c>
      <c r="E21" s="15" t="inlineStr">
        <is>
          <t>İmalat</t>
        </is>
      </c>
      <c r="F21" s="15" t="inlineStr">
        <is>
          <t>Ege</t>
        </is>
      </c>
      <c r="G21" s="15" t="inlineStr">
        <is>
          <t>PY062</t>
        </is>
      </c>
      <c r="H21" s="15" t="inlineStr">
        <is>
          <t>Gecikmede</t>
        </is>
      </c>
      <c r="I21" s="16" t="n">
        <v>9234911</v>
      </c>
      <c r="J21" s="17" t="n">
        <v>46265</v>
      </c>
    </row>
    <row r="22">
      <c r="A22" s="15" t="n">
        <v>21</v>
      </c>
      <c r="B22" s="15" t="inlineStr">
        <is>
          <t>Müşteri 0408 A.Ş.</t>
        </is>
      </c>
      <c r="C22" s="15" t="inlineStr">
        <is>
          <t>9183957440</t>
        </is>
      </c>
      <c r="D22" s="15" t="inlineStr">
        <is>
          <t>Ticari</t>
        </is>
      </c>
      <c r="E22" s="15" t="inlineStr">
        <is>
          <t>Konaklama ve yiyecek</t>
        </is>
      </c>
      <c r="F22" s="15" t="inlineStr">
        <is>
          <t>İç Anadolu</t>
        </is>
      </c>
      <c r="G22" s="15" t="inlineStr">
        <is>
          <t>PY042</t>
        </is>
      </c>
      <c r="H22" s="15" t="inlineStr">
        <is>
          <t>Gecikmede</t>
        </is>
      </c>
      <c r="I22" s="16" t="n">
        <v>7814170</v>
      </c>
      <c r="J22" s="17" t="n">
        <v>46171</v>
      </c>
    </row>
    <row r="23">
      <c r="A23" s="15" t="n">
        <v>22</v>
      </c>
      <c r="B23" s="15" t="inlineStr">
        <is>
          <t>Müşteri 0434 A.Ş.</t>
        </is>
      </c>
      <c r="C23" s="15" t="inlineStr">
        <is>
          <t>9343423071</t>
        </is>
      </c>
      <c r="D23" s="15" t="inlineStr">
        <is>
          <t>KOBI</t>
        </is>
      </c>
      <c r="E23" s="15" t="inlineStr">
        <is>
          <t>Ulaştırma ve depolama</t>
        </is>
      </c>
      <c r="F23" s="15" t="inlineStr">
        <is>
          <t>Ege</t>
        </is>
      </c>
      <c r="G23" s="15" t="inlineStr">
        <is>
          <t>PY063</t>
        </is>
      </c>
      <c r="H23" s="15" t="inlineStr">
        <is>
          <t>Gecikmede</t>
        </is>
      </c>
      <c r="I23" s="16" t="n">
        <v>7355112</v>
      </c>
      <c r="J23" s="17" t="n">
        <v>46283</v>
      </c>
    </row>
    <row r="24">
      <c r="A24" s="15" t="n">
        <v>23</v>
      </c>
      <c r="B24" s="15" t="inlineStr">
        <is>
          <t>Müşteri 0024 A.Ş.</t>
        </is>
      </c>
      <c r="C24" s="15" t="inlineStr">
        <is>
          <t>9343835894</t>
        </is>
      </c>
      <c r="D24" s="15" t="inlineStr">
        <is>
          <t>Ticari</t>
        </is>
      </c>
      <c r="E24" s="15" t="inlineStr">
        <is>
          <t>Ulaştırma ve depolama</t>
        </is>
      </c>
      <c r="F24" s="15" t="inlineStr">
        <is>
          <t>Güneydoğu</t>
        </is>
      </c>
      <c r="G24" s="15" t="inlineStr">
        <is>
          <t>PY092</t>
        </is>
      </c>
      <c r="H24" s="15" t="inlineStr">
        <is>
          <t>Gecikmede</t>
        </is>
      </c>
      <c r="I24" s="16" t="n">
        <v>5438897</v>
      </c>
      <c r="J24" s="17" t="n">
        <v>46148</v>
      </c>
    </row>
    <row r="25">
      <c r="A25" s="15" t="n">
        <v>24</v>
      </c>
      <c r="B25" s="15" t="inlineStr">
        <is>
          <t>Müşteri 0246 A.Ş.</t>
        </is>
      </c>
      <c r="C25" s="15" t="inlineStr">
        <is>
          <t>9273647562</t>
        </is>
      </c>
      <c r="D25" s="15" t="inlineStr">
        <is>
          <t>KOBI</t>
        </is>
      </c>
      <c r="E25" s="15" t="inlineStr">
        <is>
          <t>Mesleki ve teknik faaliyetler</t>
        </is>
      </c>
      <c r="F25" s="15" t="inlineStr">
        <is>
          <t>Marmara</t>
        </is>
      </c>
      <c r="G25" s="15" t="inlineStr">
        <is>
          <t>PY003</t>
        </is>
      </c>
      <c r="H25" s="15" t="inlineStr">
        <is>
          <t>Gecikmede</t>
        </is>
      </c>
      <c r="I25" s="16" t="n">
        <v>5145641</v>
      </c>
      <c r="J25" s="17" t="n">
        <v>46295</v>
      </c>
    </row>
    <row r="26">
      <c r="A26" s="15" t="n">
        <v>25</v>
      </c>
      <c r="B26" s="15" t="inlineStr">
        <is>
          <t>Müşteri 0334 A.Ş.</t>
        </is>
      </c>
      <c r="C26" s="15" t="inlineStr">
        <is>
          <t>9599350356</t>
        </is>
      </c>
      <c r="D26" s="15" t="inlineStr">
        <is>
          <t>KOBI</t>
        </is>
      </c>
      <c r="E26" s="15" t="inlineStr">
        <is>
          <t>Konaklama ve yiyecek</t>
        </is>
      </c>
      <c r="F26" s="15" t="inlineStr">
        <is>
          <t>Ege</t>
        </is>
      </c>
      <c r="G26" s="15" t="inlineStr">
        <is>
          <t>PY051</t>
        </is>
      </c>
      <c r="H26" s="15" t="inlineStr">
        <is>
          <t>Gecikmede</t>
        </is>
      </c>
      <c r="I26" s="16" t="n">
        <v>3752165</v>
      </c>
      <c r="J26" s="17" t="n">
        <v>46248</v>
      </c>
    </row>
    <row r="27">
      <c r="A27" s="15" t="n">
        <v>26</v>
      </c>
      <c r="B27" s="15" t="inlineStr">
        <is>
          <t>Müşteri 0543 A.Ş.</t>
        </is>
      </c>
      <c r="C27" s="15" t="inlineStr">
        <is>
          <t>9828854867</t>
        </is>
      </c>
      <c r="D27" s="15" t="inlineStr">
        <is>
          <t>KOBI</t>
        </is>
      </c>
      <c r="E27" s="15" t="inlineStr">
        <is>
          <t>Toptan ve perakende ticaret</t>
        </is>
      </c>
      <c r="F27" s="15" t="inlineStr">
        <is>
          <t>Akdeniz</t>
        </is>
      </c>
      <c r="G27" s="15" t="inlineStr">
        <is>
          <t>PY081</t>
        </is>
      </c>
      <c r="H27" s="15" t="inlineStr">
        <is>
          <t>Gecikmede</t>
        </is>
      </c>
      <c r="I27" s="16" t="n">
        <v>3553246</v>
      </c>
      <c r="J27" s="17" t="n">
        <v>46212</v>
      </c>
    </row>
    <row r="28">
      <c r="A28" s="15" t="n">
        <v>27</v>
      </c>
      <c r="B28" s="15" t="inlineStr">
        <is>
          <t>Müşteri 0414 A.Ş.</t>
        </is>
      </c>
      <c r="C28" s="15" t="inlineStr">
        <is>
          <t>9628730762</t>
        </is>
      </c>
      <c r="D28" s="15" t="inlineStr">
        <is>
          <t>KOBI</t>
        </is>
      </c>
      <c r="E28" s="15" t="inlineStr">
        <is>
          <t>Toptan ve perakende ticaret</t>
        </is>
      </c>
      <c r="F28" s="15" t="inlineStr">
        <is>
          <t>Karadeniz</t>
        </is>
      </c>
      <c r="G28" s="15" t="inlineStr">
        <is>
          <t>PY112</t>
        </is>
      </c>
      <c r="H28" s="15" t="inlineStr">
        <is>
          <t>Gecikmede</t>
        </is>
      </c>
      <c r="I28" s="16" t="n">
        <v>3093749</v>
      </c>
      <c r="J28" s="17" t="n">
        <v>46227</v>
      </c>
    </row>
    <row r="29">
      <c r="A29" s="15" t="n">
        <v>28</v>
      </c>
      <c r="B29" s="15" t="inlineStr">
        <is>
          <t>Müşteri 0563 A.Ş.</t>
        </is>
      </c>
      <c r="C29" s="15" t="inlineStr">
        <is>
          <t>9347473786</t>
        </is>
      </c>
      <c r="D29" s="15" t="inlineStr">
        <is>
          <t>KOBI</t>
        </is>
      </c>
      <c r="E29" s="15" t="inlineStr">
        <is>
          <t>Konaklama ve yiyecek</t>
        </is>
      </c>
      <c r="F29" s="15" t="inlineStr">
        <is>
          <t>İç Anadolu</t>
        </is>
      </c>
      <c r="G29" s="15" t="inlineStr">
        <is>
          <t>PY042</t>
        </is>
      </c>
      <c r="H29" s="15" t="inlineStr">
        <is>
          <t>Gecikmede</t>
        </is>
      </c>
      <c r="I29" s="16" t="n">
        <v>2959259</v>
      </c>
      <c r="J29" s="17" t="n">
        <v>46164</v>
      </c>
    </row>
    <row r="30">
      <c r="A30" s="15" t="n">
        <v>29</v>
      </c>
      <c r="B30" s="15" t="inlineStr">
        <is>
          <t>Müşteri 0295 A.Ş.</t>
        </is>
      </c>
      <c r="C30" s="15" t="inlineStr">
        <is>
          <t>9656003254</t>
        </is>
      </c>
      <c r="D30" s="15" t="inlineStr">
        <is>
          <t>KOBI</t>
        </is>
      </c>
      <c r="E30" s="15" t="inlineStr">
        <is>
          <t>Mesleki ve teknik faaliyetler</t>
        </is>
      </c>
      <c r="F30" s="15" t="inlineStr">
        <is>
          <t>Ege</t>
        </is>
      </c>
      <c r="G30" s="15" t="inlineStr">
        <is>
          <t>PY061</t>
        </is>
      </c>
      <c r="H30" s="15" t="inlineStr">
        <is>
          <t>Takipte</t>
        </is>
      </c>
      <c r="I30" s="16" t="n">
        <v>2903672</v>
      </c>
      <c r="J30" s="17" t="n">
        <v>46244</v>
      </c>
    </row>
    <row r="31">
      <c r="A31" s="15" t="n">
        <v>30</v>
      </c>
      <c r="B31" s="15" t="inlineStr">
        <is>
          <t>Müşteri 0305 A.Ş.</t>
        </is>
      </c>
      <c r="C31" s="15" t="inlineStr">
        <is>
          <t>9167816279</t>
        </is>
      </c>
      <c r="D31" s="15" t="inlineStr">
        <is>
          <t>KOBI</t>
        </is>
      </c>
      <c r="E31" s="15" t="inlineStr">
        <is>
          <t>İmalat</t>
        </is>
      </c>
      <c r="F31" s="15" t="inlineStr">
        <is>
          <t>Marmara</t>
        </is>
      </c>
      <c r="G31" s="15" t="inlineStr">
        <is>
          <t>PY022</t>
        </is>
      </c>
      <c r="H31" s="15" t="inlineStr">
        <is>
          <t>Gecikmede</t>
        </is>
      </c>
      <c r="I31" s="16" t="n">
        <v>2606533</v>
      </c>
      <c r="J31" s="17" t="n">
        <v>46167</v>
      </c>
    </row>
    <row r="32">
      <c r="A32" s="15" t="n">
        <v>31</v>
      </c>
      <c r="B32" s="15" t="inlineStr">
        <is>
          <t>Müşteri 0262 A.Ş.</t>
        </is>
      </c>
      <c r="C32" s="15" t="inlineStr">
        <is>
          <t>9854322899</t>
        </is>
      </c>
      <c r="D32" s="15" t="inlineStr">
        <is>
          <t>KOBI</t>
        </is>
      </c>
      <c r="E32" s="15" t="inlineStr">
        <is>
          <t>İnşaat</t>
        </is>
      </c>
      <c r="F32" s="15" t="inlineStr">
        <is>
          <t>Ege</t>
        </is>
      </c>
      <c r="G32" s="15" t="inlineStr">
        <is>
          <t>PY062</t>
        </is>
      </c>
      <c r="H32" s="15" t="inlineStr">
        <is>
          <t>Takipte</t>
        </is>
      </c>
      <c r="I32" s="16" t="n">
        <v>2482361</v>
      </c>
      <c r="J32" s="17" t="n">
        <v>46259</v>
      </c>
    </row>
    <row r="33">
      <c r="A33" s="15" t="n">
        <v>32</v>
      </c>
      <c r="B33" s="15" t="inlineStr">
        <is>
          <t>Müşteri 0042 A.Ş.</t>
        </is>
      </c>
      <c r="C33" s="15" t="inlineStr">
        <is>
          <t>9721114092</t>
        </is>
      </c>
      <c r="D33" s="15" t="inlineStr">
        <is>
          <t>KOBI</t>
        </is>
      </c>
      <c r="E33" s="15" t="inlineStr">
        <is>
          <t>Konaklama ve yiyecek</t>
        </is>
      </c>
      <c r="F33" s="15" t="inlineStr">
        <is>
          <t>Ege</t>
        </is>
      </c>
      <c r="G33" s="15" t="inlineStr">
        <is>
          <t>PY061</t>
        </is>
      </c>
      <c r="H33" s="15" t="inlineStr">
        <is>
          <t>Gecikmede</t>
        </is>
      </c>
      <c r="I33" s="16" t="n">
        <v>2418063</v>
      </c>
      <c r="J33" s="17" t="n">
        <v>46233</v>
      </c>
    </row>
    <row r="34">
      <c r="A34" s="15" t="n">
        <v>33</v>
      </c>
      <c r="B34" s="15" t="inlineStr">
        <is>
          <t>Müşteri 0179 A.Ş.</t>
        </is>
      </c>
      <c r="C34" s="15" t="inlineStr">
        <is>
          <t>9372881868</t>
        </is>
      </c>
      <c r="D34" s="15" t="inlineStr">
        <is>
          <t>KOBI</t>
        </is>
      </c>
      <c r="E34" s="15" t="inlineStr">
        <is>
          <t>Mesleki ve teknik faaliyetler</t>
        </is>
      </c>
      <c r="F34" s="15" t="inlineStr">
        <is>
          <t>Güneydoğu</t>
        </is>
      </c>
      <c r="G34" s="15" t="inlineStr">
        <is>
          <t>PY092</t>
        </is>
      </c>
      <c r="H34" s="15" t="inlineStr">
        <is>
          <t>Gecikmede</t>
        </is>
      </c>
      <c r="I34" s="16" t="n">
        <v>2316266</v>
      </c>
      <c r="J34" s="17" t="n">
        <v>46136</v>
      </c>
    </row>
    <row r="35">
      <c r="A35" s="15" t="n">
        <v>34</v>
      </c>
      <c r="B35" s="15" t="inlineStr">
        <is>
          <t>Müşteri 0508 A.Ş.</t>
        </is>
      </c>
      <c r="C35" s="15" t="inlineStr">
        <is>
          <t>9715095307</t>
        </is>
      </c>
      <c r="D35" s="15" t="inlineStr">
        <is>
          <t>Ticari</t>
        </is>
      </c>
      <c r="E35" s="15" t="inlineStr">
        <is>
          <t>İnşaat</t>
        </is>
      </c>
      <c r="F35" s="15" t="inlineStr">
        <is>
          <t>Karadeniz</t>
        </is>
      </c>
      <c r="G35" s="15" t="inlineStr">
        <is>
          <t>PY111</t>
        </is>
      </c>
      <c r="H35" s="15" t="inlineStr">
        <is>
          <t>Gecikmede</t>
        </is>
      </c>
      <c r="I35" s="16" t="n">
        <v>2226461</v>
      </c>
      <c r="J35" s="17" t="n">
        <v>46288</v>
      </c>
    </row>
    <row r="36">
      <c r="A36" s="15" t="n">
        <v>35</v>
      </c>
      <c r="B36" s="15" t="inlineStr">
        <is>
          <t>Müşteri 0572 A.Ş.</t>
        </is>
      </c>
      <c r="C36" s="15" t="inlineStr">
        <is>
          <t>9383229922</t>
        </is>
      </c>
      <c r="D36" s="15" t="inlineStr">
        <is>
          <t>KOBI</t>
        </is>
      </c>
      <c r="E36" s="15" t="inlineStr">
        <is>
          <t>Konaklama ve yiyecek</t>
        </is>
      </c>
      <c r="F36" s="15" t="inlineStr">
        <is>
          <t>Akdeniz</t>
        </is>
      </c>
      <c r="G36" s="15" t="inlineStr">
        <is>
          <t>PY071</t>
        </is>
      </c>
      <c r="H36" s="15" t="inlineStr">
        <is>
          <t>Gecikmede</t>
        </is>
      </c>
      <c r="I36" s="16" t="n">
        <v>1919712</v>
      </c>
      <c r="J36" s="17" t="n">
        <v>46267</v>
      </c>
    </row>
    <row r="37">
      <c r="A37" s="15" t="n">
        <v>36</v>
      </c>
      <c r="B37" s="15" t="inlineStr">
        <is>
          <t>Müşteri 0014 A.Ş.</t>
        </is>
      </c>
      <c r="C37" s="15" t="inlineStr">
        <is>
          <t>9729478084</t>
        </is>
      </c>
      <c r="D37" s="15" t="inlineStr">
        <is>
          <t>KOBI</t>
        </is>
      </c>
      <c r="E37" s="15" t="inlineStr">
        <is>
          <t>İmalat</t>
        </is>
      </c>
      <c r="F37" s="15" t="inlineStr">
        <is>
          <t>Marmara</t>
        </is>
      </c>
      <c r="G37" s="15" t="inlineStr">
        <is>
          <t>PY022</t>
        </is>
      </c>
      <c r="H37" s="15" t="inlineStr">
        <is>
          <t>Gecikmede</t>
        </is>
      </c>
      <c r="I37" s="16" t="n">
        <v>1742122</v>
      </c>
      <c r="J37" s="17" t="n">
        <v>46225</v>
      </c>
    </row>
    <row r="38">
      <c r="A38" s="15" t="n">
        <v>37</v>
      </c>
      <c r="B38" s="15" t="inlineStr">
        <is>
          <t>Müşteri 0182 A.Ş.</t>
        </is>
      </c>
      <c r="C38" s="15" t="inlineStr">
        <is>
          <t>9618130408</t>
        </is>
      </c>
      <c r="D38" s="15" t="inlineStr">
        <is>
          <t>KOBI</t>
        </is>
      </c>
      <c r="E38" s="15" t="inlineStr">
        <is>
          <t>Konaklama ve yiyecek</t>
        </is>
      </c>
      <c r="F38" s="15" t="inlineStr">
        <is>
          <t>Marmara</t>
        </is>
      </c>
      <c r="G38" s="15" t="inlineStr">
        <is>
          <t>PY003</t>
        </is>
      </c>
      <c r="H38" s="15" t="inlineStr">
        <is>
          <t>Gecikmede</t>
        </is>
      </c>
      <c r="I38" s="16" t="n">
        <v>1721538</v>
      </c>
      <c r="J38" s="17" t="n">
        <v>46171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3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8" customWidth="1" min="3" max="3"/>
    <col width="60" customWidth="1" min="4" max="4"/>
  </cols>
  <sheetData>
    <row r="1">
      <c r="B1" s="1" t="inlineStr">
        <is>
          <t>Yöntem ve doğrulama</t>
        </is>
      </c>
    </row>
    <row r="3">
      <c r="B3" s="7" t="inlineStr">
        <is>
          <t>Model sonuçları (zamana göre ayrılmış test)</t>
        </is>
      </c>
    </row>
    <row r="4">
      <c r="B4" s="18" t="inlineStr">
        <is>
          <t>Eğitim dönemi gözlem sayısı</t>
        </is>
      </c>
      <c r="C4" s="19" t="n">
        <v>355</v>
      </c>
      <c r="D4" s="9" t="inlineStr">
        <is>
          <t>01.04.2026 öncesi sorgular</t>
        </is>
      </c>
    </row>
    <row r="5">
      <c r="B5" s="18" t="inlineStr">
        <is>
          <t>Test dönemi gözlem sayısı</t>
        </is>
      </c>
      <c r="C5" s="19" t="n">
        <v>340</v>
      </c>
      <c r="D5" s="9" t="inlineStr">
        <is>
          <t>01.04.2026 ve sonrası</t>
        </is>
      </c>
    </row>
    <row r="6">
      <c r="B6" s="18" t="inlineStr">
        <is>
          <t>Portföy ortalaması olumsuz sonuç oranı</t>
        </is>
      </c>
      <c r="C6" s="20" t="n">
        <v>0.0460431654676259</v>
      </c>
      <c r="D6" s="9" t="inlineStr">
        <is>
          <t>Tüm eğitim verisinde 12 ay içinde gecikme/takibe düşenlerin oranı; 'kaç katı' sütununun paydası</t>
        </is>
      </c>
    </row>
    <row r="7">
      <c r="B7" s="18" t="inlineStr">
        <is>
          <t>Testte en riskli %10'un olumsuz sonuç oranı</t>
        </is>
      </c>
      <c r="C7" s="20" t="n">
        <v>0.2941176470588235</v>
      </c>
      <c r="D7" s="9" t="inlineStr"/>
    </row>
    <row r="8">
      <c r="B8" s="18" t="inlineStr">
        <is>
          <t>Kaldıraç (en riskli %10 / test ortalaması)</t>
        </is>
      </c>
      <c r="C8" s="21" t="n">
        <v>10</v>
      </c>
      <c r="D8" s="9" t="inlineStr"/>
    </row>
    <row r="9">
      <c r="B9" s="18" t="inlineStr">
        <is>
          <t>Testteki olumsuz sonuçların en riskli %10'da yakalanan payı</t>
        </is>
      </c>
      <c r="C9" s="22" t="n">
        <v>1</v>
      </c>
      <c r="D9" s="9" t="inlineStr"/>
    </row>
    <row r="10">
      <c r="B10" s="18" t="inlineStr">
        <is>
          <t>Ayırma gücü (AUC, 0,5 = rastgele, 1 = mükemmel)</t>
        </is>
      </c>
      <c r="C10" s="23" t="n">
        <v>0.9945454545454545</v>
      </c>
      <c r="D10" s="9" t="inlineStr"/>
    </row>
    <row r="12">
      <c r="B12" s="7" t="inlineStr">
        <is>
          <t>Sinyallerin etkisi (standartlaştırılmış ağırlık; büyük = daha etkili)</t>
        </is>
      </c>
    </row>
    <row r="13">
      <c r="B13" s="18" t="inlineStr">
        <is>
          <t>Limit doluluğunun mevcut seviyesi (yüksekse risk artar)</t>
        </is>
      </c>
      <c r="C13" s="23" t="n">
        <v>0.6521625940934638</v>
      </c>
    </row>
    <row r="14">
      <c r="B14" s="18" t="inlineStr">
        <is>
          <t>KKB notu müşterinin normaline göre düştü</t>
        </is>
      </c>
      <c r="C14" s="23" t="n">
        <v>0.504241034867362</v>
      </c>
    </row>
    <row r="15">
      <c r="B15" s="18" t="inlineStr">
        <is>
          <t>KKB notunun mevcut seviyesi (yüksekse risk azalır)</t>
        </is>
      </c>
      <c r="C15" s="23" t="n">
        <v>-0.4288480021661528</v>
      </c>
    </row>
    <row r="16">
      <c r="B16" s="18" t="inlineStr">
        <is>
          <t>Karşılıksız çek ortaya çıktı</t>
        </is>
      </c>
      <c r="C16" s="23" t="n">
        <v>0.2574911231409965</v>
      </c>
    </row>
    <row r="17">
      <c r="B17" s="18" t="inlineStr">
        <is>
          <t>Çalışılan banka sayısı müşterinin normaline göre arttı</t>
        </is>
      </c>
      <c r="C17" s="23" t="n">
        <v>0.1885575602424961</v>
      </c>
    </row>
    <row r="18">
      <c r="B18" s="18" t="inlineStr">
        <is>
          <t>Bankaların toplam limiti kısıldı</t>
        </is>
      </c>
      <c r="C18" s="23" t="n">
        <v>0.0005325019864515794</v>
      </c>
    </row>
    <row r="20">
      <c r="B20" s="7" t="inlineStr">
        <is>
          <t>Adımlar</t>
        </is>
      </c>
    </row>
    <row r="21" ht="28" customHeight="1">
      <c r="B21" s="5" t="inlineStr">
        <is>
          <t>1. Her sorguda müşterinin o güne kadarki sorgularının medyanı 'normal' kabul edildi.</t>
        </is>
      </c>
    </row>
    <row r="22" ht="28" customHeight="1">
      <c r="B22" s="5" t="inlineStr">
        <is>
          <t>2. Bugünkü değer normalle karşılaştırıldı; yalnızca olumsuz yöndeki sapmalar sayıldı (doluluk artışı, not düşüşü, banka sayısı artışı, limit kısılması, karşılıksız çek...).</t>
        </is>
      </c>
    </row>
    <row r="23" ht="28" customHeight="1">
      <c r="B23" s="5" t="inlineStr">
        <is>
          <t>3. Geçmiş sorgularda hangi sapma desenlerinin sonraki 12 ayda gecikme veya takiple sonuçlandığı lojistik regresyonla öğrenildi. Olumsuz sapmalar yalnızca riski artırabilecek şekilde kısıtlandı.</t>
        </is>
      </c>
    </row>
    <row r="24" ht="28" customHeight="1">
      <c r="B24" s="5" t="inlineStr">
        <is>
          <t>4. Model, geçmiş dönemle eğitilip sonraki dönemde test edildi (yukarıdaki tablo).</t>
        </is>
      </c>
    </row>
    <row r="25" ht="28" customHeight="1">
      <c r="B25" s="5" t="inlineStr">
        <is>
          <t>5. Şu an gecikmede olmayan müşteriler son sorgularına göre puanlandı; ortalamanın belirgin üzerinde olanlar listeye alındı.</t>
        </is>
      </c>
    </row>
    <row r="27">
      <c r="B27" s="7" t="inlineStr">
        <is>
          <t>Dikkat</t>
        </is>
      </c>
    </row>
    <row r="28" ht="28" customHeight="1">
      <c r="B28" s="5" t="inlineStr">
        <is>
          <t>• Bu dosyadaki veriler sentetiktir. Sentetik veride bozulma deseni net olduğu için test sonuçları gerçekte beklenenden yüksektir; gerçek veride performans ayrıca ölçülmelidir.</t>
        </is>
      </c>
    </row>
    <row r="29" ht="28" customHeight="1">
      <c r="B29" s="5" t="inlineStr">
        <is>
          <t>• Liste bir karar değil, bakış önceliğidir. Kredi kararı analistte kalır.</t>
        </is>
      </c>
    </row>
    <row r="30" ht="28" customHeight="1">
      <c r="B30" s="5" t="inlineStr">
        <is>
          <t>• Gerçek müşteri listesi paylaşılırken KVKK ve KKB kullanım koşullarına uyulmalı, yalnızca yetkili kişilerle paylaşılmalıdır.</t>
        </is>
      </c>
    </row>
  </sheetData>
  <mergeCells count="8">
    <mergeCell ref="B28:D28"/>
    <mergeCell ref="B23:D23"/>
    <mergeCell ref="B22:D22"/>
    <mergeCell ref="B21:D21"/>
    <mergeCell ref="B30:D30"/>
    <mergeCell ref="B29:D29"/>
    <mergeCell ref="B25:D25"/>
    <mergeCell ref="B24:D24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2026-10-22T07:21:30Z</dcterms:created>
  <dcterms:modified xsi:type="dcterms:W3CDTF">2026-10-22T07:21:31Z</dcterms:modified>
</cp:coreProperties>
</file>